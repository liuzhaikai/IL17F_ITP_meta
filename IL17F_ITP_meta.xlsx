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inkbook\Desktop\"/>
    </mc:Choice>
  </mc:AlternateContent>
  <xr:revisionPtr revIDLastSave="0" documentId="13_ncr:1_{0790461A-B0A8-4768-AC11-427C6822DC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s763780（7488T_C）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" i="1" l="1"/>
  <c r="Z14" i="1"/>
  <c r="Y14" i="1"/>
  <c r="X14" i="1"/>
  <c r="W14" i="1"/>
  <c r="S14" i="1"/>
  <c r="R14" i="1"/>
  <c r="T14" i="1" s="1"/>
  <c r="U14" i="1" s="1"/>
  <c r="Q14" i="1"/>
  <c r="P14" i="1"/>
  <c r="L14" i="1"/>
  <c r="K14" i="1"/>
  <c r="AA13" i="1"/>
  <c r="AC13" i="1" s="1"/>
  <c r="Z13" i="1"/>
  <c r="Y13" i="1"/>
  <c r="X13" i="1"/>
  <c r="V13" i="1"/>
  <c r="S13" i="1"/>
  <c r="R13" i="1"/>
  <c r="Q13" i="1"/>
  <c r="P13" i="1"/>
  <c r="L13" i="1"/>
  <c r="K13" i="1"/>
  <c r="AA12" i="1"/>
  <c r="AC12" i="1" s="1"/>
  <c r="Z12" i="1"/>
  <c r="Y12" i="1"/>
  <c r="X12" i="1"/>
  <c r="V12" i="1"/>
  <c r="S12" i="1"/>
  <c r="R12" i="1"/>
  <c r="Q12" i="1"/>
  <c r="P12" i="1"/>
  <c r="L12" i="1"/>
  <c r="K12" i="1"/>
  <c r="AA11" i="1"/>
  <c r="AC11" i="1" s="1"/>
  <c r="Z11" i="1"/>
  <c r="Y11" i="1"/>
  <c r="AB11" i="1" s="1"/>
  <c r="X11" i="1"/>
  <c r="W11" i="1"/>
  <c r="W12" i="1" s="1"/>
  <c r="S11" i="1"/>
  <c r="R11" i="1"/>
  <c r="T11" i="1" s="1"/>
  <c r="U11" i="1" s="1"/>
  <c r="Q11" i="1"/>
  <c r="P11" i="1"/>
  <c r="L11" i="1"/>
  <c r="K11" i="1"/>
  <c r="AA10" i="1"/>
  <c r="Z10" i="1"/>
  <c r="Y10" i="1"/>
  <c r="AB10" i="1" s="1"/>
  <c r="X10" i="1"/>
  <c r="W10" i="1"/>
  <c r="S10" i="1"/>
  <c r="R10" i="1"/>
  <c r="Q10" i="1"/>
  <c r="P10" i="1"/>
  <c r="L10" i="1"/>
  <c r="K10" i="1"/>
  <c r="AA9" i="1"/>
  <c r="Z9" i="1"/>
  <c r="Y9" i="1"/>
  <c r="X9" i="1"/>
  <c r="S9" i="1"/>
  <c r="R9" i="1"/>
  <c r="Q9" i="1"/>
  <c r="P9" i="1"/>
  <c r="L9" i="1"/>
  <c r="K9" i="1"/>
  <c r="AA8" i="1"/>
  <c r="Z8" i="1"/>
  <c r="Y8" i="1"/>
  <c r="X8" i="1"/>
  <c r="S8" i="1"/>
  <c r="R8" i="1"/>
  <c r="Q8" i="1"/>
  <c r="P8" i="1"/>
  <c r="L8" i="1"/>
  <c r="K8" i="1"/>
  <c r="Y7" i="1"/>
  <c r="X7" i="1"/>
  <c r="V7" i="1"/>
  <c r="T7" i="1"/>
  <c r="U7" i="1" s="1"/>
  <c r="R7" i="1"/>
  <c r="L7" i="1"/>
  <c r="K7" i="1"/>
  <c r="Y6" i="1"/>
  <c r="AB6" i="1" s="1"/>
  <c r="X6" i="1"/>
  <c r="T6" i="1"/>
  <c r="U6" i="1" s="1"/>
  <c r="R6" i="1"/>
  <c r="L6" i="1"/>
  <c r="K6" i="1"/>
  <c r="AA5" i="1"/>
  <c r="Z5" i="1"/>
  <c r="Y5" i="1"/>
  <c r="X5" i="1"/>
  <c r="W5" i="1"/>
  <c r="W6" i="1" s="1"/>
  <c r="S5" i="1"/>
  <c r="R5" i="1"/>
  <c r="Q5" i="1"/>
  <c r="P5" i="1"/>
  <c r="L5" i="1"/>
  <c r="K5" i="1"/>
  <c r="AA4" i="1"/>
  <c r="Z4" i="1"/>
  <c r="Y4" i="1"/>
  <c r="X4" i="1"/>
  <c r="W4" i="1"/>
  <c r="S4" i="1"/>
  <c r="R4" i="1"/>
  <c r="Q4" i="1"/>
  <c r="P4" i="1"/>
  <c r="L4" i="1"/>
  <c r="K4" i="1"/>
  <c r="AA3" i="1"/>
  <c r="Z3" i="1"/>
  <c r="Y3" i="1"/>
  <c r="X3" i="1"/>
  <c r="W3" i="1"/>
  <c r="S3" i="1"/>
  <c r="R3" i="1"/>
  <c r="T3" i="1" s="1"/>
  <c r="U3" i="1" s="1"/>
  <c r="Q3" i="1"/>
  <c r="P3" i="1"/>
  <c r="L3" i="1"/>
  <c r="K3" i="1"/>
  <c r="T4" i="1" l="1"/>
  <c r="U4" i="1" s="1"/>
  <c r="AC10" i="1"/>
  <c r="T13" i="1"/>
  <c r="U13" i="1" s="1"/>
  <c r="T10" i="1"/>
  <c r="U10" i="1" s="1"/>
  <c r="AB14" i="1"/>
  <c r="AB13" i="1"/>
  <c r="T9" i="1"/>
  <c r="U9" i="1" s="1"/>
  <c r="AB12" i="1"/>
  <c r="AC14" i="1"/>
  <c r="T8" i="1"/>
  <c r="U8" i="1" s="1"/>
  <c r="AB5" i="1"/>
  <c r="AB8" i="1"/>
  <c r="AB3" i="1"/>
  <c r="AC5" i="1"/>
  <c r="AC8" i="1"/>
  <c r="AC3" i="1"/>
  <c r="T12" i="1"/>
  <c r="U12" i="1" s="1"/>
  <c r="AB9" i="1"/>
  <c r="AC9" i="1"/>
  <c r="AB4" i="1"/>
  <c r="W7" i="1"/>
  <c r="AC4" i="1"/>
  <c r="AB7" i="1"/>
  <c r="T5" i="1"/>
  <c r="U5" i="1" s="1"/>
  <c r="W13" i="1"/>
</calcChain>
</file>

<file path=xl/sharedStrings.xml><?xml version="1.0" encoding="utf-8"?>
<sst xmlns="http://schemas.openxmlformats.org/spreadsheetml/2006/main" count="88" uniqueCount="59">
  <si>
    <t>Author</t>
  </si>
  <si>
    <t>Year</t>
  </si>
  <si>
    <t>Country</t>
  </si>
  <si>
    <t>Region</t>
    <phoneticPr fontId="3" type="noConversion"/>
  </si>
  <si>
    <t>Sample_age</t>
    <phoneticPr fontId="3" type="noConversion"/>
  </si>
  <si>
    <t>Source</t>
  </si>
  <si>
    <t>Detecting_method</t>
    <phoneticPr fontId="3" type="noConversion"/>
  </si>
  <si>
    <t>case</t>
    <phoneticPr fontId="3" type="noConversion"/>
  </si>
  <si>
    <t>control</t>
    <phoneticPr fontId="3" type="noConversion"/>
  </si>
  <si>
    <t>Sample_
case</t>
    <phoneticPr fontId="3" type="noConversion"/>
  </si>
  <si>
    <t>Sample_
control</t>
    <phoneticPr fontId="3" type="noConversion"/>
  </si>
  <si>
    <t>Samplesize</t>
    <phoneticPr fontId="3" type="noConversion"/>
  </si>
  <si>
    <t>Sample_size_group</t>
    <phoneticPr fontId="3" type="noConversion"/>
  </si>
  <si>
    <t>HWE_value</t>
  </si>
  <si>
    <t>HWE</t>
  </si>
  <si>
    <t>T_case</t>
    <phoneticPr fontId="3" type="noConversion"/>
  </si>
  <si>
    <t>C_case</t>
    <phoneticPr fontId="3" type="noConversion"/>
  </si>
  <si>
    <t>T_control</t>
    <phoneticPr fontId="3" type="noConversion"/>
  </si>
  <si>
    <t>C_control</t>
    <phoneticPr fontId="3" type="noConversion"/>
  </si>
  <si>
    <t>MAF_case</t>
  </si>
  <si>
    <t>MAF_control</t>
  </si>
  <si>
    <t>TT_case</t>
    <phoneticPr fontId="3" type="noConversion"/>
  </si>
  <si>
    <t>TC_case</t>
    <phoneticPr fontId="3" type="noConversion"/>
  </si>
  <si>
    <t>CC_case</t>
    <phoneticPr fontId="3" type="noConversion"/>
  </si>
  <si>
    <t>TT_TC_case</t>
    <phoneticPr fontId="3" type="noConversion"/>
  </si>
  <si>
    <t>TC_CC_case</t>
    <phoneticPr fontId="3" type="noConversion"/>
  </si>
  <si>
    <t>TT_control</t>
    <phoneticPr fontId="3" type="noConversion"/>
  </si>
  <si>
    <t>TC_control</t>
    <phoneticPr fontId="3" type="noConversion"/>
  </si>
  <si>
    <t>CC_control</t>
    <phoneticPr fontId="3" type="noConversion"/>
  </si>
  <si>
    <t>TT_TC_control</t>
    <phoneticPr fontId="3" type="noConversion"/>
  </si>
  <si>
    <t>TC_CC_control</t>
    <phoneticPr fontId="3" type="noConversion"/>
  </si>
  <si>
    <t>Shereen Philip Aziz</t>
    <phoneticPr fontId="3" type="noConversion"/>
  </si>
  <si>
    <t>Egypt</t>
    <phoneticPr fontId="3" type="noConversion"/>
  </si>
  <si>
    <t>Africa</t>
    <phoneticPr fontId="3" type="noConversion"/>
  </si>
  <si>
    <t>children</t>
    <phoneticPr fontId="3" type="noConversion"/>
  </si>
  <si>
    <t>peripheral blood</t>
  </si>
  <si>
    <t>PCR-RFLP</t>
  </si>
  <si>
    <t>Shahira K.A. Botros</t>
    <phoneticPr fontId="3" type="noConversion"/>
  </si>
  <si>
    <t>peripheral venous blood</t>
    <phoneticPr fontId="3" type="noConversion"/>
  </si>
  <si>
    <t>PCR-RFLP</t>
    <phoneticPr fontId="3" type="noConversion"/>
  </si>
  <si>
    <t>Huiyuan Li</t>
    <phoneticPr fontId="3" type="noConversion"/>
  </si>
  <si>
    <t>China</t>
    <phoneticPr fontId="3" type="noConversion"/>
  </si>
  <si>
    <t>East Asia</t>
    <phoneticPr fontId="3" type="noConversion"/>
  </si>
  <si>
    <t>children &amp; adults</t>
    <phoneticPr fontId="3" type="noConversion"/>
  </si>
  <si>
    <t>peripheral blood</t>
    <phoneticPr fontId="3" type="noConversion"/>
  </si>
  <si>
    <t>adults</t>
    <phoneticPr fontId="3" type="noConversion"/>
  </si>
  <si>
    <t>Shuang Liu</t>
    <phoneticPr fontId="3" type="noConversion"/>
  </si>
  <si>
    <t>East Asia</t>
  </si>
  <si>
    <t>&lt;0.0001</t>
    <phoneticPr fontId="3" type="noConversion"/>
  </si>
  <si>
    <t>not Consistent</t>
    <phoneticPr fontId="3" type="noConversion"/>
  </si>
  <si>
    <t>Galila M. Mokhtar</t>
    <phoneticPr fontId="3" type="noConversion"/>
  </si>
  <si>
    <t>peripheral blood leucocytes</t>
    <phoneticPr fontId="3" type="noConversion"/>
  </si>
  <si>
    <t>Takayuki Saitoh</t>
    <phoneticPr fontId="3" type="noConversion"/>
  </si>
  <si>
    <t>Japan</t>
    <phoneticPr fontId="3" type="noConversion"/>
  </si>
  <si>
    <t>mixed</t>
    <phoneticPr fontId="3" type="noConversion"/>
  </si>
  <si>
    <t>whole blood</t>
    <phoneticPr fontId="3" type="noConversion"/>
  </si>
  <si>
    <t>Fetnat Mahmoud Tolba</t>
    <phoneticPr fontId="3" type="noConversion"/>
  </si>
  <si>
    <t>Sherif M.Yousry</t>
    <phoneticPr fontId="3" type="noConversion"/>
  </si>
  <si>
    <t>https://ug.sebc.me/labs/hwe-calculator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</si>
</sst>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1"/>
      <color theme="1"/>
      <name val="宋体"/>
      <charset val="134"/>
      <scheme val="minor"/>
    </font>
    <font>
      <b/>
      <sz val="14"/>
      <color rgb="FF4472C4"/>
      <name val="等线"/>
      <family val="3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"/>
  <sheetViews>
    <sheetView tabSelected="1" workbookViewId="0">
      <selection activeCell="F1" sqref="F1:F1048576"/>
    </sheetView>
  </sheetViews>
  <sheetFormatPr defaultColWidth="9" defaultRowHeight="14" x14ac:dyDescent="0.25"/>
  <sheetData>
    <row r="1" spans="1:29" ht="17.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3" t="s">
        <v>6</v>
      </c>
      <c r="H1" s="14" t="s">
        <v>7</v>
      </c>
      <c r="I1" s="14"/>
      <c r="J1" s="14"/>
      <c r="K1" s="14"/>
      <c r="L1" s="14"/>
      <c r="M1" s="11" t="s">
        <v>8</v>
      </c>
      <c r="N1" s="11"/>
      <c r="O1" s="11"/>
      <c r="P1" s="11"/>
      <c r="Q1" s="11"/>
      <c r="R1" s="13" t="s">
        <v>9</v>
      </c>
      <c r="S1" s="13" t="s">
        <v>10</v>
      </c>
      <c r="T1" s="11" t="s">
        <v>11</v>
      </c>
      <c r="U1" s="12" t="s">
        <v>12</v>
      </c>
      <c r="V1" s="11" t="s">
        <v>13</v>
      </c>
      <c r="W1" s="11" t="s">
        <v>14</v>
      </c>
      <c r="X1" s="11" t="s">
        <v>15</v>
      </c>
      <c r="Y1" s="11" t="s">
        <v>16</v>
      </c>
      <c r="Z1" s="11" t="s">
        <v>17</v>
      </c>
      <c r="AA1" s="11" t="s">
        <v>18</v>
      </c>
      <c r="AB1" s="11" t="s">
        <v>19</v>
      </c>
      <c r="AC1" s="11" t="s">
        <v>20</v>
      </c>
    </row>
    <row r="2" spans="1:29" ht="17.5" x14ac:dyDescent="0.25">
      <c r="A2" s="12"/>
      <c r="B2" s="12"/>
      <c r="C2" s="12"/>
      <c r="D2" s="12"/>
      <c r="E2" s="12"/>
      <c r="F2" s="12"/>
      <c r="G2" s="12"/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x14ac:dyDescent="0.25">
      <c r="A3" s="2" t="s">
        <v>31</v>
      </c>
      <c r="B3" s="3">
        <v>2018</v>
      </c>
      <c r="C3" s="2" t="s">
        <v>32</v>
      </c>
      <c r="D3" s="2" t="s">
        <v>33</v>
      </c>
      <c r="E3" s="2" t="s">
        <v>34</v>
      </c>
      <c r="F3" s="3" t="s">
        <v>35</v>
      </c>
      <c r="G3" s="3" t="s">
        <v>36</v>
      </c>
      <c r="H3" s="3">
        <v>52</v>
      </c>
      <c r="I3" s="3">
        <v>26</v>
      </c>
      <c r="J3" s="3">
        <v>2</v>
      </c>
      <c r="K3" s="3">
        <f t="shared" ref="K3:L14" si="0">H3+I3</f>
        <v>78</v>
      </c>
      <c r="L3" s="3">
        <f t="shared" si="0"/>
        <v>28</v>
      </c>
      <c r="M3" s="3">
        <v>19</v>
      </c>
      <c r="N3" s="3">
        <v>32</v>
      </c>
      <c r="O3" s="3">
        <v>4</v>
      </c>
      <c r="P3" s="3">
        <f>M3+N3</f>
        <v>51</v>
      </c>
      <c r="Q3" s="3">
        <f>N3+O3</f>
        <v>36</v>
      </c>
      <c r="R3" s="3">
        <f t="shared" ref="R3:R14" si="1">H3+I3+J3</f>
        <v>80</v>
      </c>
      <c r="S3" s="3">
        <f>M3+N3+O3</f>
        <v>55</v>
      </c>
      <c r="T3" s="3">
        <f>R3+S3</f>
        <v>135</v>
      </c>
      <c r="U3" s="2" t="str">
        <f>IF(T3&lt;200,"&lt;200","&gt;=200")</f>
        <v>&lt;200</v>
      </c>
      <c r="V3" s="2">
        <v>5.6500000000000002E-2</v>
      </c>
      <c r="W3" s="3" t="str">
        <f>IF(V3&gt;=0.05,"Consistent","not Consistent")</f>
        <v>Consistent</v>
      </c>
      <c r="X3" s="3">
        <f t="shared" ref="X3:X14" si="2">2*H3+I3</f>
        <v>130</v>
      </c>
      <c r="Y3" s="3">
        <f t="shared" ref="Y3:Y14" si="3">2*J3+I3</f>
        <v>30</v>
      </c>
      <c r="Z3" s="3">
        <f>2*M3+N3</f>
        <v>70</v>
      </c>
      <c r="AA3" s="3">
        <f>2*O3+N3</f>
        <v>40</v>
      </c>
      <c r="AB3" s="4">
        <f t="shared" ref="AB3:AB14" si="4">Y3/(2*R3)</f>
        <v>0.1875</v>
      </c>
      <c r="AC3" s="4">
        <f>AA3/(2*S3)</f>
        <v>0.36363636363636365</v>
      </c>
    </row>
    <row r="4" spans="1:29" x14ac:dyDescent="0.25">
      <c r="A4" s="2" t="s">
        <v>37</v>
      </c>
      <c r="B4" s="3">
        <v>2018</v>
      </c>
      <c r="C4" s="2" t="s">
        <v>32</v>
      </c>
      <c r="D4" s="2" t="s">
        <v>33</v>
      </c>
      <c r="E4" s="2" t="s">
        <v>34</v>
      </c>
      <c r="F4" s="2" t="s">
        <v>38</v>
      </c>
      <c r="G4" s="2" t="s">
        <v>39</v>
      </c>
      <c r="H4" s="3">
        <v>48</v>
      </c>
      <c r="I4" s="3">
        <v>1</v>
      </c>
      <c r="J4" s="3">
        <v>1</v>
      </c>
      <c r="K4" s="3">
        <f t="shared" si="0"/>
        <v>49</v>
      </c>
      <c r="L4" s="3">
        <f t="shared" si="0"/>
        <v>2</v>
      </c>
      <c r="M4" s="3">
        <v>45</v>
      </c>
      <c r="N4" s="3">
        <v>5</v>
      </c>
      <c r="O4" s="3">
        <v>0</v>
      </c>
      <c r="P4" s="3">
        <f t="shared" ref="P4:Q14" si="5">M4+N4</f>
        <v>50</v>
      </c>
      <c r="Q4" s="3">
        <f t="shared" si="5"/>
        <v>5</v>
      </c>
      <c r="R4" s="3">
        <f t="shared" si="1"/>
        <v>50</v>
      </c>
      <c r="S4" s="3">
        <f t="shared" ref="S4:S14" si="6">M4+N4+O4</f>
        <v>50</v>
      </c>
      <c r="T4" s="3">
        <f>R4+S4</f>
        <v>100</v>
      </c>
      <c r="U4" s="2" t="str">
        <f t="shared" ref="U4:U14" si="7">IF(T4&lt;200,"&lt;200","&gt;=200")</f>
        <v>&lt;200</v>
      </c>
      <c r="V4" s="2">
        <v>0.70979999999999999</v>
      </c>
      <c r="W4" s="3" t="str">
        <f t="shared" ref="W4:W14" si="8">IF(V4&gt;=0.05,"Consistent","not Consistent")</f>
        <v>Consistent</v>
      </c>
      <c r="X4" s="3">
        <f t="shared" si="2"/>
        <v>97</v>
      </c>
      <c r="Y4" s="3">
        <f t="shared" si="3"/>
        <v>3</v>
      </c>
      <c r="Z4" s="3">
        <f>2*M4+N4</f>
        <v>95</v>
      </c>
      <c r="AA4" s="3">
        <f>2*O4+N4</f>
        <v>5</v>
      </c>
      <c r="AB4" s="4">
        <f t="shared" si="4"/>
        <v>0.03</v>
      </c>
      <c r="AC4" s="4">
        <f>AA4/(2*S4)</f>
        <v>0.05</v>
      </c>
    </row>
    <row r="5" spans="1:29" x14ac:dyDescent="0.25">
      <c r="A5" s="2" t="s">
        <v>40</v>
      </c>
      <c r="B5" s="3">
        <v>2017</v>
      </c>
      <c r="C5" s="2" t="s">
        <v>41</v>
      </c>
      <c r="D5" s="2" t="s">
        <v>42</v>
      </c>
      <c r="E5" s="2" t="s">
        <v>43</v>
      </c>
      <c r="F5" s="2" t="s">
        <v>44</v>
      </c>
      <c r="G5" s="3" t="s">
        <v>36</v>
      </c>
      <c r="H5" s="3">
        <v>153</v>
      </c>
      <c r="I5" s="3">
        <v>12</v>
      </c>
      <c r="J5" s="3">
        <v>0</v>
      </c>
      <c r="K5" s="3">
        <f t="shared" si="0"/>
        <v>165</v>
      </c>
      <c r="L5" s="3">
        <f t="shared" si="0"/>
        <v>12</v>
      </c>
      <c r="M5" s="3">
        <v>128</v>
      </c>
      <c r="N5" s="3">
        <v>19</v>
      </c>
      <c r="O5" s="3">
        <v>2</v>
      </c>
      <c r="P5" s="3">
        <f t="shared" si="5"/>
        <v>147</v>
      </c>
      <c r="Q5" s="3">
        <f t="shared" si="5"/>
        <v>21</v>
      </c>
      <c r="R5" s="3">
        <f t="shared" si="1"/>
        <v>165</v>
      </c>
      <c r="S5" s="3">
        <f t="shared" si="6"/>
        <v>149</v>
      </c>
      <c r="T5" s="3">
        <f>R5+S5</f>
        <v>314</v>
      </c>
      <c r="U5" s="2" t="str">
        <f t="shared" si="7"/>
        <v>&gt;=200</v>
      </c>
      <c r="V5" s="2">
        <v>0.20069999999999999</v>
      </c>
      <c r="W5" s="3" t="str">
        <f t="shared" si="8"/>
        <v>Consistent</v>
      </c>
      <c r="X5" s="3">
        <f t="shared" si="2"/>
        <v>318</v>
      </c>
      <c r="Y5" s="3">
        <f t="shared" si="3"/>
        <v>12</v>
      </c>
      <c r="Z5" s="3">
        <f>2*M5+N5</f>
        <v>275</v>
      </c>
      <c r="AA5" s="3">
        <f>2*O5+N5</f>
        <v>23</v>
      </c>
      <c r="AB5" s="4">
        <f t="shared" si="4"/>
        <v>3.6363636363636362E-2</v>
      </c>
      <c r="AC5" s="4">
        <f>AA5/(2*S5)</f>
        <v>7.7181208053691275E-2</v>
      </c>
    </row>
    <row r="6" spans="1:29" x14ac:dyDescent="0.25">
      <c r="A6" s="2"/>
      <c r="B6" s="3"/>
      <c r="C6" s="2"/>
      <c r="D6" s="2"/>
      <c r="E6" s="5" t="s">
        <v>34</v>
      </c>
      <c r="F6" s="5"/>
      <c r="G6" s="6"/>
      <c r="H6" s="6">
        <v>46</v>
      </c>
      <c r="I6" s="6">
        <v>3</v>
      </c>
      <c r="J6" s="6">
        <v>0</v>
      </c>
      <c r="K6" s="6">
        <f t="shared" si="0"/>
        <v>49</v>
      </c>
      <c r="L6" s="6">
        <f t="shared" si="0"/>
        <v>3</v>
      </c>
      <c r="M6" s="6">
        <v>128</v>
      </c>
      <c r="N6" s="6">
        <v>19</v>
      </c>
      <c r="O6" s="6">
        <v>2</v>
      </c>
      <c r="P6" s="6">
        <v>147</v>
      </c>
      <c r="Q6" s="6">
        <v>21</v>
      </c>
      <c r="R6" s="6">
        <f t="shared" si="1"/>
        <v>49</v>
      </c>
      <c r="S6" s="6">
        <v>149</v>
      </c>
      <c r="T6" s="6">
        <f>49+149</f>
        <v>198</v>
      </c>
      <c r="U6" s="6" t="str">
        <f t="shared" si="7"/>
        <v>&lt;200</v>
      </c>
      <c r="V6" s="5">
        <v>0.20069999999999999</v>
      </c>
      <c r="W6" s="6" t="str">
        <f>W5</f>
        <v>Consistent</v>
      </c>
      <c r="X6" s="6">
        <f t="shared" si="2"/>
        <v>95</v>
      </c>
      <c r="Y6" s="6">
        <f t="shared" si="3"/>
        <v>3</v>
      </c>
      <c r="Z6" s="6">
        <v>275</v>
      </c>
      <c r="AA6" s="6">
        <v>23</v>
      </c>
      <c r="AB6" s="7">
        <f t="shared" si="4"/>
        <v>3.0612244897959183E-2</v>
      </c>
      <c r="AC6" s="7">
        <v>7.7200000000000005E-2</v>
      </c>
    </row>
    <row r="7" spans="1:29" x14ac:dyDescent="0.25">
      <c r="A7" s="2"/>
      <c r="B7" s="3"/>
      <c r="C7" s="2"/>
      <c r="D7" s="2"/>
      <c r="E7" s="8" t="s">
        <v>45</v>
      </c>
      <c r="F7" s="8"/>
      <c r="G7" s="9"/>
      <c r="H7" s="9">
        <v>107</v>
      </c>
      <c r="I7" s="9">
        <v>9</v>
      </c>
      <c r="J7" s="9">
        <v>0</v>
      </c>
      <c r="K7" s="9">
        <f t="shared" si="0"/>
        <v>116</v>
      </c>
      <c r="L7" s="9">
        <f t="shared" si="0"/>
        <v>9</v>
      </c>
      <c r="M7" s="9">
        <v>128</v>
      </c>
      <c r="N7" s="9">
        <v>19</v>
      </c>
      <c r="O7" s="9">
        <v>2</v>
      </c>
      <c r="P7" s="9">
        <v>147</v>
      </c>
      <c r="Q7" s="9">
        <v>21</v>
      </c>
      <c r="R7" s="9">
        <f t="shared" si="1"/>
        <v>116</v>
      </c>
      <c r="S7" s="9">
        <v>149</v>
      </c>
      <c r="T7" s="9">
        <f>116+149</f>
        <v>265</v>
      </c>
      <c r="U7" s="9" t="str">
        <f t="shared" si="7"/>
        <v>&gt;=200</v>
      </c>
      <c r="V7" s="8">
        <f>V5</f>
        <v>0.20069999999999999</v>
      </c>
      <c r="W7" s="9" t="str">
        <f>W5</f>
        <v>Consistent</v>
      </c>
      <c r="X7" s="9">
        <f t="shared" si="2"/>
        <v>223</v>
      </c>
      <c r="Y7" s="9">
        <f t="shared" si="3"/>
        <v>9</v>
      </c>
      <c r="Z7" s="9">
        <v>275</v>
      </c>
      <c r="AA7" s="9">
        <v>23</v>
      </c>
      <c r="AB7" s="10">
        <f t="shared" si="4"/>
        <v>3.8793103448275863E-2</v>
      </c>
      <c r="AC7" s="10">
        <v>7.7200000000000005E-2</v>
      </c>
    </row>
    <row r="8" spans="1:29" x14ac:dyDescent="0.25">
      <c r="A8" s="2" t="s">
        <v>46</v>
      </c>
      <c r="B8" s="3">
        <v>2016</v>
      </c>
      <c r="C8" s="2" t="s">
        <v>41</v>
      </c>
      <c r="D8" s="2" t="s">
        <v>47</v>
      </c>
      <c r="E8" s="2" t="s">
        <v>45</v>
      </c>
      <c r="F8" s="3" t="s">
        <v>35</v>
      </c>
      <c r="G8" s="3" t="s">
        <v>36</v>
      </c>
      <c r="H8" s="3">
        <v>25</v>
      </c>
      <c r="I8" s="3">
        <v>43</v>
      </c>
      <c r="J8" s="3">
        <v>78</v>
      </c>
      <c r="K8" s="3">
        <f t="shared" si="0"/>
        <v>68</v>
      </c>
      <c r="L8" s="3">
        <f t="shared" si="0"/>
        <v>121</v>
      </c>
      <c r="M8" s="3">
        <v>13</v>
      </c>
      <c r="N8" s="3">
        <v>26</v>
      </c>
      <c r="O8" s="3">
        <v>98</v>
      </c>
      <c r="P8" s="3">
        <f t="shared" si="5"/>
        <v>39</v>
      </c>
      <c r="Q8" s="3">
        <f t="shared" si="5"/>
        <v>124</v>
      </c>
      <c r="R8" s="3">
        <f t="shared" si="1"/>
        <v>146</v>
      </c>
      <c r="S8" s="3">
        <f t="shared" si="6"/>
        <v>137</v>
      </c>
      <c r="T8" s="3">
        <f t="shared" ref="T8:T14" si="9">R8+S8</f>
        <v>283</v>
      </c>
      <c r="U8" s="2" t="str">
        <f t="shared" si="7"/>
        <v>&gt;=200</v>
      </c>
      <c r="V8" s="2" t="s">
        <v>48</v>
      </c>
      <c r="W8" s="2" t="s">
        <v>49</v>
      </c>
      <c r="X8" s="3">
        <f t="shared" si="2"/>
        <v>93</v>
      </c>
      <c r="Y8" s="3">
        <f t="shared" si="3"/>
        <v>199</v>
      </c>
      <c r="Z8" s="3">
        <f t="shared" ref="Z8:Z14" si="10">2*M8+N8</f>
        <v>52</v>
      </c>
      <c r="AA8" s="3">
        <f t="shared" ref="AA8:AA14" si="11">2*O8+N8</f>
        <v>222</v>
      </c>
      <c r="AB8" s="4">
        <f t="shared" si="4"/>
        <v>0.68150684931506844</v>
      </c>
      <c r="AC8" s="4">
        <f t="shared" ref="AC8:AC14" si="12">AA8/(2*S8)</f>
        <v>0.81021897810218979</v>
      </c>
    </row>
    <row r="9" spans="1:29" x14ac:dyDescent="0.25">
      <c r="A9" s="2" t="s">
        <v>50</v>
      </c>
      <c r="B9" s="3">
        <v>2016</v>
      </c>
      <c r="C9" s="2" t="s">
        <v>32</v>
      </c>
      <c r="D9" s="2" t="s">
        <v>33</v>
      </c>
      <c r="E9" s="2" t="s">
        <v>34</v>
      </c>
      <c r="F9" s="2" t="s">
        <v>51</v>
      </c>
      <c r="G9" s="2" t="s">
        <v>39</v>
      </c>
      <c r="H9" s="3">
        <v>0</v>
      </c>
      <c r="I9" s="3">
        <v>11</v>
      </c>
      <c r="J9" s="3">
        <v>39</v>
      </c>
      <c r="K9" s="3">
        <f t="shared" si="0"/>
        <v>11</v>
      </c>
      <c r="L9" s="3">
        <f t="shared" si="0"/>
        <v>50</v>
      </c>
      <c r="M9" s="3">
        <v>0</v>
      </c>
      <c r="N9" s="3">
        <v>47</v>
      </c>
      <c r="O9" s="3">
        <v>3</v>
      </c>
      <c r="P9" s="3">
        <f t="shared" si="5"/>
        <v>47</v>
      </c>
      <c r="Q9" s="3">
        <f t="shared" si="5"/>
        <v>50</v>
      </c>
      <c r="R9" s="3">
        <f t="shared" si="1"/>
        <v>50</v>
      </c>
      <c r="S9" s="3">
        <f t="shared" si="6"/>
        <v>50</v>
      </c>
      <c r="T9" s="3">
        <f t="shared" si="9"/>
        <v>100</v>
      </c>
      <c r="U9" s="2" t="str">
        <f t="shared" si="7"/>
        <v>&lt;200</v>
      </c>
      <c r="V9" s="2" t="s">
        <v>48</v>
      </c>
      <c r="W9" s="2" t="s">
        <v>49</v>
      </c>
      <c r="X9" s="3">
        <f t="shared" si="2"/>
        <v>11</v>
      </c>
      <c r="Y9" s="3">
        <f t="shared" si="3"/>
        <v>89</v>
      </c>
      <c r="Z9" s="3">
        <f t="shared" si="10"/>
        <v>47</v>
      </c>
      <c r="AA9" s="3">
        <f t="shared" si="11"/>
        <v>53</v>
      </c>
      <c r="AB9" s="4">
        <f t="shared" si="4"/>
        <v>0.89</v>
      </c>
      <c r="AC9" s="4">
        <f t="shared" si="12"/>
        <v>0.53</v>
      </c>
    </row>
    <row r="10" spans="1:29" x14ac:dyDescent="0.25">
      <c r="A10" s="2" t="s">
        <v>52</v>
      </c>
      <c r="B10" s="3">
        <v>2011</v>
      </c>
      <c r="C10" s="2" t="s">
        <v>53</v>
      </c>
      <c r="D10" s="2" t="s">
        <v>47</v>
      </c>
      <c r="E10" s="2" t="s">
        <v>54</v>
      </c>
      <c r="F10" s="2" t="s">
        <v>55</v>
      </c>
      <c r="G10" s="3" t="s">
        <v>36</v>
      </c>
      <c r="H10" s="3">
        <v>86</v>
      </c>
      <c r="I10" s="3">
        <v>16</v>
      </c>
      <c r="J10" s="3">
        <v>0</v>
      </c>
      <c r="K10" s="3">
        <f t="shared" si="0"/>
        <v>102</v>
      </c>
      <c r="L10" s="3">
        <f t="shared" si="0"/>
        <v>16</v>
      </c>
      <c r="M10" s="3">
        <v>140</v>
      </c>
      <c r="N10" s="3">
        <v>39</v>
      </c>
      <c r="O10" s="3">
        <v>9</v>
      </c>
      <c r="P10" s="3">
        <f t="shared" si="5"/>
        <v>179</v>
      </c>
      <c r="Q10" s="3">
        <f t="shared" si="5"/>
        <v>48</v>
      </c>
      <c r="R10" s="3">
        <f t="shared" si="1"/>
        <v>102</v>
      </c>
      <c r="S10" s="3">
        <f t="shared" si="6"/>
        <v>188</v>
      </c>
      <c r="T10" s="3">
        <f t="shared" si="9"/>
        <v>290</v>
      </c>
      <c r="U10" s="2" t="str">
        <f t="shared" si="7"/>
        <v>&gt;=200</v>
      </c>
      <c r="V10" s="2">
        <v>8.0000000000000002E-3</v>
      </c>
      <c r="W10" s="3" t="str">
        <f t="shared" si="8"/>
        <v>not Consistent</v>
      </c>
      <c r="X10" s="3">
        <f t="shared" si="2"/>
        <v>188</v>
      </c>
      <c r="Y10" s="3">
        <f t="shared" si="3"/>
        <v>16</v>
      </c>
      <c r="Z10" s="3">
        <f t="shared" si="10"/>
        <v>319</v>
      </c>
      <c r="AA10" s="3">
        <f t="shared" si="11"/>
        <v>57</v>
      </c>
      <c r="AB10" s="4">
        <f t="shared" si="4"/>
        <v>7.8431372549019607E-2</v>
      </c>
      <c r="AC10" s="4">
        <f t="shared" si="12"/>
        <v>0.15159574468085107</v>
      </c>
    </row>
    <row r="11" spans="1:29" x14ac:dyDescent="0.25">
      <c r="A11" s="2" t="s">
        <v>56</v>
      </c>
      <c r="B11" s="3">
        <v>2019</v>
      </c>
      <c r="C11" s="2" t="s">
        <v>32</v>
      </c>
      <c r="D11" s="2" t="s">
        <v>33</v>
      </c>
      <c r="E11" s="2" t="s">
        <v>43</v>
      </c>
      <c r="F11" s="2" t="s">
        <v>38</v>
      </c>
      <c r="G11" s="3" t="s">
        <v>36</v>
      </c>
      <c r="H11" s="3">
        <v>96</v>
      </c>
      <c r="I11" s="3">
        <v>9</v>
      </c>
      <c r="J11" s="3">
        <v>0</v>
      </c>
      <c r="K11" s="3">
        <f t="shared" si="0"/>
        <v>105</v>
      </c>
      <c r="L11" s="3">
        <f t="shared" si="0"/>
        <v>9</v>
      </c>
      <c r="M11" s="3">
        <v>89</v>
      </c>
      <c r="N11" s="3">
        <v>20</v>
      </c>
      <c r="O11" s="3">
        <v>3</v>
      </c>
      <c r="P11" s="3">
        <f t="shared" si="5"/>
        <v>109</v>
      </c>
      <c r="Q11" s="3">
        <f t="shared" si="5"/>
        <v>23</v>
      </c>
      <c r="R11" s="3">
        <f t="shared" si="1"/>
        <v>105</v>
      </c>
      <c r="S11" s="3">
        <f t="shared" si="6"/>
        <v>112</v>
      </c>
      <c r="T11" s="3">
        <f t="shared" si="9"/>
        <v>217</v>
      </c>
      <c r="U11" s="2" t="str">
        <f t="shared" si="7"/>
        <v>&gt;=200</v>
      </c>
      <c r="V11" s="2">
        <v>0.16969999999999999</v>
      </c>
      <c r="W11" s="3" t="str">
        <f t="shared" si="8"/>
        <v>Consistent</v>
      </c>
      <c r="X11" s="3">
        <f t="shared" si="2"/>
        <v>201</v>
      </c>
      <c r="Y11" s="3">
        <f t="shared" si="3"/>
        <v>9</v>
      </c>
      <c r="Z11" s="3">
        <f t="shared" si="10"/>
        <v>198</v>
      </c>
      <c r="AA11" s="3">
        <f t="shared" si="11"/>
        <v>26</v>
      </c>
      <c r="AB11" s="4">
        <f t="shared" si="4"/>
        <v>4.2857142857142858E-2</v>
      </c>
      <c r="AC11" s="4">
        <f t="shared" si="12"/>
        <v>0.11607142857142858</v>
      </c>
    </row>
    <row r="12" spans="1:29" x14ac:dyDescent="0.25">
      <c r="A12" s="2"/>
      <c r="B12" s="3"/>
      <c r="C12" s="2"/>
      <c r="D12" s="2"/>
      <c r="E12" s="5" t="s">
        <v>34</v>
      </c>
      <c r="F12" s="5"/>
      <c r="G12" s="6"/>
      <c r="H12" s="6">
        <v>58</v>
      </c>
      <c r="I12" s="6">
        <v>5</v>
      </c>
      <c r="J12" s="6">
        <v>0</v>
      </c>
      <c r="K12" s="6">
        <f t="shared" si="0"/>
        <v>63</v>
      </c>
      <c r="L12" s="6">
        <f t="shared" si="0"/>
        <v>5</v>
      </c>
      <c r="M12" s="6">
        <v>89</v>
      </c>
      <c r="N12" s="6">
        <v>20</v>
      </c>
      <c r="O12" s="6">
        <v>3</v>
      </c>
      <c r="P12" s="6">
        <f t="shared" si="5"/>
        <v>109</v>
      </c>
      <c r="Q12" s="6">
        <f t="shared" si="5"/>
        <v>23</v>
      </c>
      <c r="R12" s="6">
        <f t="shared" si="1"/>
        <v>63</v>
      </c>
      <c r="S12" s="6">
        <f t="shared" si="6"/>
        <v>112</v>
      </c>
      <c r="T12" s="6">
        <f t="shared" si="9"/>
        <v>175</v>
      </c>
      <c r="U12" s="6" t="str">
        <f t="shared" si="7"/>
        <v>&lt;200</v>
      </c>
      <c r="V12" s="5">
        <f>V11</f>
        <v>0.16969999999999999</v>
      </c>
      <c r="W12" s="6" t="str">
        <f>W11</f>
        <v>Consistent</v>
      </c>
      <c r="X12" s="6">
        <f t="shared" si="2"/>
        <v>121</v>
      </c>
      <c r="Y12" s="6">
        <f t="shared" si="3"/>
        <v>5</v>
      </c>
      <c r="Z12" s="6">
        <f t="shared" si="10"/>
        <v>198</v>
      </c>
      <c r="AA12" s="6">
        <f t="shared" si="11"/>
        <v>26</v>
      </c>
      <c r="AB12" s="7">
        <f t="shared" si="4"/>
        <v>3.968253968253968E-2</v>
      </c>
      <c r="AC12" s="7">
        <f t="shared" si="12"/>
        <v>0.11607142857142858</v>
      </c>
    </row>
    <row r="13" spans="1:29" x14ac:dyDescent="0.25">
      <c r="A13" s="2"/>
      <c r="B13" s="3"/>
      <c r="C13" s="2"/>
      <c r="D13" s="2"/>
      <c r="E13" s="8" t="s">
        <v>45</v>
      </c>
      <c r="F13" s="8"/>
      <c r="G13" s="9"/>
      <c r="H13" s="9">
        <v>38</v>
      </c>
      <c r="I13" s="9">
        <v>4</v>
      </c>
      <c r="J13" s="9">
        <v>0</v>
      </c>
      <c r="K13" s="9">
        <f t="shared" si="0"/>
        <v>42</v>
      </c>
      <c r="L13" s="9">
        <f t="shared" si="0"/>
        <v>4</v>
      </c>
      <c r="M13" s="9">
        <v>89</v>
      </c>
      <c r="N13" s="9">
        <v>20</v>
      </c>
      <c r="O13" s="9">
        <v>3</v>
      </c>
      <c r="P13" s="9">
        <f t="shared" si="5"/>
        <v>109</v>
      </c>
      <c r="Q13" s="9">
        <f t="shared" si="5"/>
        <v>23</v>
      </c>
      <c r="R13" s="9">
        <f t="shared" si="1"/>
        <v>42</v>
      </c>
      <c r="S13" s="9">
        <f t="shared" si="6"/>
        <v>112</v>
      </c>
      <c r="T13" s="9">
        <f t="shared" si="9"/>
        <v>154</v>
      </c>
      <c r="U13" s="9" t="str">
        <f t="shared" si="7"/>
        <v>&lt;200</v>
      </c>
      <c r="V13" s="8">
        <f>V11</f>
        <v>0.16969999999999999</v>
      </c>
      <c r="W13" s="9" t="str">
        <f>W11</f>
        <v>Consistent</v>
      </c>
      <c r="X13" s="9">
        <f t="shared" si="2"/>
        <v>80</v>
      </c>
      <c r="Y13" s="9">
        <f t="shared" si="3"/>
        <v>4</v>
      </c>
      <c r="Z13" s="9">
        <f t="shared" si="10"/>
        <v>198</v>
      </c>
      <c r="AA13" s="9">
        <f t="shared" si="11"/>
        <v>26</v>
      </c>
      <c r="AB13" s="10">
        <f t="shared" si="4"/>
        <v>4.7619047619047616E-2</v>
      </c>
      <c r="AC13" s="10">
        <f t="shared" si="12"/>
        <v>0.11607142857142858</v>
      </c>
    </row>
    <row r="14" spans="1:29" x14ac:dyDescent="0.25">
      <c r="A14" s="2" t="s">
        <v>57</v>
      </c>
      <c r="B14" s="3">
        <v>2016</v>
      </c>
      <c r="C14" s="2" t="s">
        <v>32</v>
      </c>
      <c r="D14" s="2" t="s">
        <v>33</v>
      </c>
      <c r="E14" s="2" t="s">
        <v>45</v>
      </c>
      <c r="F14" s="2" t="s">
        <v>55</v>
      </c>
      <c r="G14" s="3" t="s">
        <v>36</v>
      </c>
      <c r="H14" s="3">
        <v>90</v>
      </c>
      <c r="I14" s="3">
        <v>16</v>
      </c>
      <c r="J14" s="3">
        <v>1</v>
      </c>
      <c r="K14" s="3">
        <f t="shared" si="0"/>
        <v>106</v>
      </c>
      <c r="L14" s="3">
        <f t="shared" si="0"/>
        <v>17</v>
      </c>
      <c r="M14" s="3">
        <v>70</v>
      </c>
      <c r="N14" s="3">
        <v>24</v>
      </c>
      <c r="O14" s="3">
        <v>6</v>
      </c>
      <c r="P14" s="3">
        <f t="shared" si="5"/>
        <v>94</v>
      </c>
      <c r="Q14" s="3">
        <f t="shared" si="5"/>
        <v>30</v>
      </c>
      <c r="R14" s="3">
        <f t="shared" si="1"/>
        <v>107</v>
      </c>
      <c r="S14" s="3">
        <f t="shared" si="6"/>
        <v>100</v>
      </c>
      <c r="T14" s="3">
        <f t="shared" si="9"/>
        <v>207</v>
      </c>
      <c r="U14" s="2" t="str">
        <f t="shared" si="7"/>
        <v>&gt;=200</v>
      </c>
      <c r="V14" s="2">
        <v>6.1499999999999999E-2</v>
      </c>
      <c r="W14" s="3" t="str">
        <f t="shared" si="8"/>
        <v>Consistent</v>
      </c>
      <c r="X14" s="3">
        <f t="shared" si="2"/>
        <v>196</v>
      </c>
      <c r="Y14" s="3">
        <f t="shared" si="3"/>
        <v>18</v>
      </c>
      <c r="Z14" s="3">
        <f t="shared" si="10"/>
        <v>164</v>
      </c>
      <c r="AA14" s="3">
        <f t="shared" si="11"/>
        <v>36</v>
      </c>
      <c r="AB14" s="4">
        <f t="shared" si="4"/>
        <v>8.4112149532710276E-2</v>
      </c>
      <c r="AC14" s="4">
        <f t="shared" si="12"/>
        <v>0.18</v>
      </c>
    </row>
    <row r="15" spans="1:29" x14ac:dyDescent="0.25">
      <c r="V15" t="s">
        <v>58</v>
      </c>
    </row>
  </sheetData>
  <mergeCells count="21">
    <mergeCell ref="A1:A2"/>
    <mergeCell ref="B1:B2"/>
    <mergeCell ref="C1:C2"/>
    <mergeCell ref="D1:D2"/>
    <mergeCell ref="E1:E2"/>
    <mergeCell ref="X1:X2"/>
    <mergeCell ref="F1:F2"/>
    <mergeCell ref="G1:G2"/>
    <mergeCell ref="H1:L1"/>
    <mergeCell ref="M1:Q1"/>
    <mergeCell ref="R1:R2"/>
    <mergeCell ref="S1:S2"/>
    <mergeCell ref="T1:T2"/>
    <mergeCell ref="U1:U2"/>
    <mergeCell ref="V1:V2"/>
    <mergeCell ref="W1:W2"/>
    <mergeCell ref="Y1:Y2"/>
    <mergeCell ref="Z1:Z2"/>
    <mergeCell ref="AA1:AA2"/>
    <mergeCell ref="AB1:AB2"/>
    <mergeCell ref="AC1:AC2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rs763780（7488T_C）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刘翟凯</dc:creator>
  <cp:lastModifiedBy>lzk_kklk@outlook.com</cp:lastModifiedBy>
  <dcterms:created xsi:type="dcterms:W3CDTF">2023-05-12T11:15:00Z</dcterms:created>
  <dcterms:modified xsi:type="dcterms:W3CDTF">2026-04-06T11:04:13Z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